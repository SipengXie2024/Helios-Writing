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ERC20-Transfer" sheetId="1" r:id="rId1"/>
    <sheet name="Uniswap-V2-Swap-1hop" sheetId="2" r:id="rId2"/>
    <sheet name="Uniswap-V2-Swap-4ho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<sst xmlns="http://schemas.openxmlformats.org/spreadsheetml/2006/main" count="73" uniqueCount="22">
  <si>
    <t>Geth Native</t>
  </si>
  <si>
    <t>Revm Native</t>
  </si>
  <si>
    <t>Forerunner (geth)</t>
  </si>
  <si>
    <t>Forerunner (revm mock)</t>
  </si>
  <si>
    <t>Revmc</t>
  </si>
  <si>
    <t>Helios</t>
  </si>
  <si>
    <t>Optimization Time(us)</t>
  </si>
  <si>
    <t>\</t>
  </si>
  <si>
    <t>Size(Bytes)</t>
  </si>
  <si>
    <t>Execution Time（us）</t>
  </si>
  <si>
    <t>native 8.6719 optimize 9.7488</t>
  </si>
  <si>
    <t>CPLR</t>
  </si>
  <si>
    <t>Parallel Time (us) (8t)</t>
  </si>
  <si>
    <t>native opcode count</t>
  </si>
  <si>
    <t>w</t>
  </si>
  <si>
    <t>CF</t>
  </si>
  <si>
    <t>CSE</t>
  </si>
  <si>
    <t>DSE</t>
  </si>
  <si>
    <t>reduced opcode count</t>
  </si>
  <si>
    <t>race execution (us)</t>
  </si>
  <si>
    <t>native 101, optimize 69 &lt;caution&gt;</t>
  </si>
  <si>
    <t>native 267.57 optimize 196.76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</si>
</sst>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2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F4" sqref="F4"/>
    </sheetView>
  </sheetViews>
  <sheetFormatPr defaultColWidth="9.02654867256637" defaultRowHeight="13.5" outlineLevelCol="6"/>
  <cols>
    <col min="1" max="1" width="27.6194690265487" customWidth="1"/>
    <col min="2" max="2" width="13.1504424778761" customWidth="1"/>
    <col min="3" max="3" width="16.3362831858407" customWidth="1"/>
    <col min="4" max="4" width="18.9911504424779" customWidth="1"/>
    <col min="5" max="5" width="25.2300884955752" customWidth="1"/>
    <col min="6" max="6" width="26.4247787610619" customWidth="1"/>
  </cols>
  <sheetData>
    <row r="1" ht="15.75" spans="2:7">
      <c r="B1" s="1" t="s">
        <v>0</v>
      </c>
      <c r="C1" s="1" t="s">
        <v>1</v>
      </c>
      <c r="D1" s="2" t="s">
        <v>2</v>
      </c>
      <c r="E1" s="2" t="s">
        <v>3</v>
      </c>
      <c r="F1" t="s">
        <v>4</v>
      </c>
      <c r="G1" t="s">
        <v>5</v>
      </c>
    </row>
    <row r="2" spans="1:7">
      <c r="A2" t="s">
        <v>6</v>
      </c>
      <c r="B2" s="3" t="s">
        <v>7</v>
      </c>
      <c r="C2" s="3" t="s">
        <v>7</v>
      </c>
      <c r="D2">
        <v>291.648</v>
      </c>
      <c r="E2">
        <v>26.324</v>
      </c>
      <c r="F2" s="3" t="s">
        <v>7</v>
      </c>
      <c r="G2">
        <v>23.244</v>
      </c>
    </row>
    <row r="3" spans="1:7">
      <c r="A3" t="s">
        <v>8</v>
      </c>
      <c r="B3" s="3" t="s">
        <v>7</v>
      </c>
      <c r="C3" s="3" t="s">
        <v>7</v>
      </c>
      <c r="D3">
        <v>402831</v>
      </c>
      <c r="E3" s="3">
        <v>45722</v>
      </c>
      <c r="F3" s="3" t="s">
        <v>7</v>
      </c>
      <c r="G3">
        <v>4872</v>
      </c>
    </row>
    <row r="4" spans="1:7">
      <c r="A4" t="s">
        <v>9</v>
      </c>
      <c r="B4">
        <v>89.106</v>
      </c>
      <c r="C4">
        <v>4.9406</v>
      </c>
      <c r="D4">
        <v>35.746</v>
      </c>
      <c r="E4">
        <v>4.5099</v>
      </c>
      <c r="F4">
        <v>5.5541</v>
      </c>
      <c r="G4">
        <v>4.3465</v>
      </c>
    </row>
    <row r="5" spans="6:6">
      <c r="F5" t="s">
        <v>10</v>
      </c>
    </row>
    <row r="6" spans="1:2">
      <c r="A6" t="s">
        <v>11</v>
      </c>
      <c r="B6">
        <f>11/90</f>
        <v>0.122222222222222</v>
      </c>
    </row>
    <row r="7" spans="1:2">
      <c r="A7" t="s">
        <v>12</v>
      </c>
      <c r="B7">
        <v>41.51</v>
      </c>
    </row>
    <row r="9" spans="1:7">
      <c r="A9" t="s">
        <v>13</v>
      </c>
      <c r="B9">
        <v>492</v>
      </c>
      <c r="G9" t="s">
        <v>14</v>
      </c>
    </row>
    <row r="10" spans="1:2">
      <c r="A10" t="s">
        <v>15</v>
      </c>
      <c r="B10">
        <v>395</v>
      </c>
    </row>
    <row r="11" spans="1:2">
      <c r="A11" t="s">
        <v>16</v>
      </c>
      <c r="B11">
        <v>10</v>
      </c>
    </row>
    <row r="12" spans="1:2">
      <c r="A12" t="s">
        <v>17</v>
      </c>
      <c r="B12">
        <v>0</v>
      </c>
    </row>
    <row r="13" spans="1:2">
      <c r="A13" t="s">
        <v>18</v>
      </c>
      <c r="B13">
        <v>87</v>
      </c>
    </row>
    <row r="15" spans="1:2">
      <c r="A15" t="s">
        <v>19</v>
      </c>
      <c r="B15">
        <v>22.771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F4" sqref="F4"/>
    </sheetView>
  </sheetViews>
  <sheetFormatPr defaultColWidth="9.02654867256637" defaultRowHeight="13.5" outlineLevelCol="6"/>
  <cols>
    <col min="1" max="1" width="27.6194690265487" customWidth="1"/>
    <col min="2" max="2" width="30.6725663716814" customWidth="1"/>
    <col min="3" max="3" width="28.8141592920354" customWidth="1"/>
    <col min="4" max="4" width="24.6991150442478" customWidth="1"/>
    <col min="5" max="5" width="26.2920353982301" customWidth="1"/>
    <col min="6" max="6" width="24.3008849557522" customWidth="1"/>
    <col min="7" max="7" width="18.4601769911504" customWidth="1"/>
    <col min="8" max="8" width="26.4247787610619" customWidth="1"/>
  </cols>
  <sheetData>
    <row r="1" ht="15.75" spans="2:7">
      <c r="B1" s="1" t="s">
        <v>0</v>
      </c>
      <c r="C1" s="1" t="s">
        <v>1</v>
      </c>
      <c r="D1" s="2" t="s">
        <v>2</v>
      </c>
      <c r="E1" s="2" t="s">
        <v>3</v>
      </c>
      <c r="F1" t="s">
        <v>4</v>
      </c>
      <c r="G1" t="s">
        <v>5</v>
      </c>
    </row>
    <row r="2" spans="1:7">
      <c r="A2" t="s">
        <v>6</v>
      </c>
      <c r="B2" s="4" t="s">
        <v>7</v>
      </c>
      <c r="C2" s="4" t="s">
        <v>7</v>
      </c>
      <c r="D2">
        <v>742.55</v>
      </c>
      <c r="E2">
        <v>381.45</v>
      </c>
      <c r="F2" s="3" t="s">
        <v>7</v>
      </c>
      <c r="G2">
        <v>309.85</v>
      </c>
    </row>
    <row r="3" spans="1:7">
      <c r="A3" t="s">
        <v>8</v>
      </c>
      <c r="B3" s="4" t="s">
        <v>7</v>
      </c>
      <c r="C3" s="4" t="s">
        <v>7</v>
      </c>
      <c r="D3">
        <v>932238</v>
      </c>
      <c r="E3" s="3">
        <v>663011</v>
      </c>
      <c r="F3" s="3" t="s">
        <v>7</v>
      </c>
      <c r="G3">
        <v>71904</v>
      </c>
    </row>
    <row r="4" spans="1:7">
      <c r="A4" t="s">
        <v>9</v>
      </c>
      <c r="B4">
        <v>398.4</v>
      </c>
      <c r="C4">
        <v>62.021</v>
      </c>
      <c r="D4">
        <v>68.124</v>
      </c>
      <c r="E4">
        <v>39.199</v>
      </c>
      <c r="F4">
        <v>42.356</v>
      </c>
      <c r="G4">
        <v>30.963</v>
      </c>
    </row>
    <row r="5" spans="6:6">
      <c r="F5" t="s">
        <v>20</v>
      </c>
    </row>
    <row r="6" spans="1:2">
      <c r="A6" t="s">
        <v>11</v>
      </c>
      <c r="B6">
        <f>120/1319</f>
        <v>0.090978013646702</v>
      </c>
    </row>
    <row r="7" spans="1:2">
      <c r="A7" t="s">
        <v>12</v>
      </c>
      <c r="B7">
        <v>417.69</v>
      </c>
    </row>
    <row r="9" spans="1:2">
      <c r="A9" t="s">
        <v>13</v>
      </c>
      <c r="B9">
        <v>5667</v>
      </c>
    </row>
    <row r="10" spans="1:2">
      <c r="A10" t="s">
        <v>15</v>
      </c>
      <c r="B10">
        <v>4249</v>
      </c>
    </row>
    <row r="11" spans="1:2">
      <c r="A11" t="s">
        <v>16</v>
      </c>
      <c r="B11">
        <v>85</v>
      </c>
    </row>
    <row r="12" spans="1:2">
      <c r="A12" t="s">
        <v>17</v>
      </c>
      <c r="B12">
        <v>9</v>
      </c>
    </row>
    <row r="13" spans="1:2">
      <c r="A13" t="s">
        <v>18</v>
      </c>
      <c r="B13">
        <v>1324</v>
      </c>
    </row>
    <row r="15" spans="1:2">
      <c r="A15" t="s">
        <v>19</v>
      </c>
      <c r="B15">
        <v>71.038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F9" sqref="F9"/>
    </sheetView>
  </sheetViews>
  <sheetFormatPr defaultColWidth="9.02654867256637" defaultRowHeight="13.5" outlineLevelCol="6"/>
  <cols>
    <col min="1" max="1" width="25.8938053097345" customWidth="1"/>
    <col min="2" max="3" width="25.4955752212389" customWidth="1"/>
    <col min="4" max="4" width="33.5929203539823" customWidth="1"/>
    <col min="5" max="5" width="30.6725663716814" customWidth="1"/>
    <col min="6" max="6" width="33.858407079646" customWidth="1"/>
    <col min="7" max="7" width="13.283185840708" customWidth="1"/>
  </cols>
  <sheetData>
    <row r="1" ht="15.75" spans="2:7">
      <c r="B1" s="1" t="s">
        <v>0</v>
      </c>
      <c r="C1" s="1" t="s">
        <v>1</v>
      </c>
      <c r="D1" s="2" t="s">
        <v>2</v>
      </c>
      <c r="E1" s="2" t="s">
        <v>3</v>
      </c>
      <c r="F1" t="s">
        <v>4</v>
      </c>
      <c r="G1" t="s">
        <v>5</v>
      </c>
    </row>
    <row r="2" spans="1:7">
      <c r="A2" t="s">
        <v>6</v>
      </c>
      <c r="B2" t="s">
        <v>7</v>
      </c>
      <c r="C2" t="s">
        <v>7</v>
      </c>
      <c r="D2">
        <v>1317.705</v>
      </c>
      <c r="E2">
        <v>1119.2</v>
      </c>
      <c r="F2" t="s">
        <v>7</v>
      </c>
      <c r="G2">
        <v>943.15</v>
      </c>
    </row>
    <row r="3" spans="1:7">
      <c r="A3" t="s">
        <v>8</v>
      </c>
      <c r="B3" t="s">
        <v>7</v>
      </c>
      <c r="C3" t="s">
        <v>7</v>
      </c>
      <c r="D3">
        <v>2042149</v>
      </c>
      <c r="E3" s="3">
        <v>2065923</v>
      </c>
      <c r="F3" t="s">
        <v>7</v>
      </c>
      <c r="G3">
        <v>125888</v>
      </c>
    </row>
    <row r="4" spans="1:7">
      <c r="A4" t="s">
        <v>9</v>
      </c>
      <c r="B4">
        <v>966.201</v>
      </c>
      <c r="C4">
        <v>172.49</v>
      </c>
      <c r="D4">
        <v>167.383</v>
      </c>
      <c r="E4">
        <v>130.36</v>
      </c>
      <c r="F4">
        <v>126.842</v>
      </c>
      <c r="G4">
        <v>97.345</v>
      </c>
    </row>
    <row r="5" spans="6:6">
      <c r="F5" t="s">
        <v>21</v>
      </c>
    </row>
    <row r="6" spans="1:2">
      <c r="A6" t="s">
        <v>11</v>
      </c>
      <c r="B6">
        <f>156/4134</f>
        <v>0.0377358490566038</v>
      </c>
    </row>
    <row r="7" spans="1:2">
      <c r="A7" t="s">
        <v>12</v>
      </c>
      <c r="B7">
        <v>1031.9</v>
      </c>
    </row>
    <row r="9" spans="1:2">
      <c r="A9" t="s">
        <v>13</v>
      </c>
      <c r="B9">
        <v>18063</v>
      </c>
    </row>
    <row r="10" spans="1:2">
      <c r="A10" t="s">
        <v>15</v>
      </c>
      <c r="B10">
        <v>13604</v>
      </c>
    </row>
    <row r="11" spans="1:2">
      <c r="A11" t="s">
        <v>16</v>
      </c>
      <c r="B11">
        <v>257</v>
      </c>
    </row>
    <row r="12" spans="1:2">
      <c r="A12" t="s">
        <v>17</v>
      </c>
      <c r="B12">
        <v>33</v>
      </c>
    </row>
    <row r="13" spans="1:2">
      <c r="A13" t="s">
        <v>18</v>
      </c>
      <c r="B13">
        <v>4169</v>
      </c>
    </row>
    <row r="15" spans="1:2">
      <c r="A15" t="s">
        <v>19</v>
      </c>
      <c r="B15">
        <v>234.3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ERC20-Transfer</vt:lpstr>
      <vt:lpstr>Uniswap-V2-Swap-1hop</vt:lpstr>
      <vt:lpstr>Uniswap-V2-Swap-4hop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72334</dc:creator>
  <cp:lastModifiedBy>谢思芃</cp:lastModifiedBy>
  <dcterms:created xsi:type="dcterms:W3CDTF">2025-11-18T05:51:00Z</dcterms:created>
  <dcterms:modified xsi:type="dcterms:W3CDTF">2025-11-19T09:13:41Z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C42308A3359748D5AD7B9CFD2C155CFD_11</vt:lpwstr>
  </property>
  <property fmtid="{D5CDD505-2E9C-101B-9397-08002B2CF9AE}" pid="3" name="KSOProductBuildVer">
    <vt:lpwstr>2052-12.1.0.22529</vt:lpwstr>
  </property>
</Properties>
</file>